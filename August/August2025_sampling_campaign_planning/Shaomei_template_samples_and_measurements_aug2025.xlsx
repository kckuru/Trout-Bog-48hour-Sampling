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leykuru/Documents/Kuru_Projects/Trout_Bog_EET_general/August2025_sampling_campaign/"/>
    </mc:Choice>
  </mc:AlternateContent>
  <xr:revisionPtr revIDLastSave="0" documentId="8_{C6098620-9FE5-CC41-AD6F-1D85961832C9}" xr6:coauthVersionLast="47" xr6:coauthVersionMax="47" xr10:uidLastSave="{00000000-0000-0000-0000-000000000000}"/>
  <bookViews>
    <workbookView xWindow="2460" yWindow="760" windowWidth="26340" windowHeight="15440" xr2:uid="{51F561E6-EF96-5046-90D8-79E2EFEB2490}"/>
  </bookViews>
  <sheets>
    <sheet name="Lakes" sheetId="2" r:id="rId1"/>
    <sheet name="chemical_physical" sheetId="1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2" l="1"/>
  <c r="J2" i="2"/>
  <c r="I7" i="2"/>
  <c r="J4" i="2"/>
  <c r="J5" i="2"/>
  <c r="J6" i="2"/>
  <c r="J3" i="2"/>
  <c r="I3" i="2"/>
  <c r="I4" i="2"/>
  <c r="I5" i="2"/>
  <c r="I6" i="2"/>
  <c r="I2" i="2"/>
  <c r="F2" i="2"/>
  <c r="G2" i="2"/>
  <c r="H2" i="2"/>
  <c r="F3" i="2"/>
  <c r="G3" i="2"/>
  <c r="H3" i="2"/>
  <c r="F4" i="2"/>
  <c r="G4" i="2"/>
  <c r="H4" i="2"/>
  <c r="F5" i="2"/>
  <c r="G5" i="2"/>
  <c r="H5" i="2"/>
  <c r="F6" i="2"/>
  <c r="G6" i="2"/>
  <c r="H6" i="2"/>
  <c r="H7" i="2"/>
  <c r="G7" i="2"/>
  <c r="F11" i="2"/>
  <c r="E11" i="2"/>
  <c r="D11" i="2"/>
  <c r="C11" i="2"/>
  <c r="B11" i="2"/>
  <c r="F7" i="2"/>
</calcChain>
</file>

<file path=xl/sharedStrings.xml><?xml version="1.0" encoding="utf-8"?>
<sst xmlns="http://schemas.openxmlformats.org/spreadsheetml/2006/main" count="203" uniqueCount="90">
  <si>
    <t>Measurement</t>
  </si>
  <si>
    <t>Filteration</t>
  </si>
  <si>
    <t>Preservation</t>
  </si>
  <si>
    <t>Method</t>
  </si>
  <si>
    <t>Volumn</t>
  </si>
  <si>
    <t>Temperature</t>
  </si>
  <si>
    <t>DO</t>
  </si>
  <si>
    <t>Turbidity</t>
  </si>
  <si>
    <t>pH</t>
  </si>
  <si>
    <t>PAR</t>
  </si>
  <si>
    <t>Frequency</t>
  </si>
  <si>
    <t>ORP</t>
  </si>
  <si>
    <t>Nitrate/Nitrite</t>
  </si>
  <si>
    <t>Ammonia</t>
  </si>
  <si>
    <t>DOC</t>
  </si>
  <si>
    <t>EAC/EDC</t>
  </si>
  <si>
    <t>cDOC</t>
  </si>
  <si>
    <t>Fe II</t>
  </si>
  <si>
    <t>Fe (III)</t>
  </si>
  <si>
    <t>Mn</t>
  </si>
  <si>
    <t>Sulfide</t>
  </si>
  <si>
    <t>Sulfate</t>
  </si>
  <si>
    <t>CH4</t>
  </si>
  <si>
    <t>CO2</t>
  </si>
  <si>
    <t>Conductivity</t>
  </si>
  <si>
    <t>Storage on Site</t>
  </si>
  <si>
    <t>Liquid nitrogen</t>
  </si>
  <si>
    <t>4 RNA/DNA</t>
  </si>
  <si>
    <t>Gas-tight glass serum vials with butyl rubber stoppers</t>
  </si>
  <si>
    <t>Container</t>
  </si>
  <si>
    <t>acid-washed plastic bottles</t>
  </si>
  <si>
    <t>Acidify (HCl or HNO₃ to pH &lt; 2)</t>
  </si>
  <si>
    <t>No</t>
  </si>
  <si>
    <t>4°C, dark</t>
  </si>
  <si>
    <t>Lake</t>
  </si>
  <si>
    <t>Max Depth</t>
  </si>
  <si>
    <t>Mixing Regime</t>
  </si>
  <si>
    <t>DOC (mg/L)</t>
  </si>
  <si>
    <t>Mary Lake</t>
  </si>
  <si>
    <t>M</t>
  </si>
  <si>
    <t>Trout Bog</t>
  </si>
  <si>
    <t>D</t>
  </si>
  <si>
    <t>18.6 ± 0.58</t>
  </si>
  <si>
    <t>South Sparking Lake</t>
  </si>
  <si>
    <t>16.8–27.2</t>
  </si>
  <si>
    <t>North Sparking Lake</t>
  </si>
  <si>
    <t>Crystal Bog</t>
  </si>
  <si>
    <t>P</t>
  </si>
  <si>
    <t>10.6 ± 2 </t>
  </si>
  <si>
    <t>CB</t>
  </si>
  <si>
    <t>NSB</t>
  </si>
  <si>
    <t>SSB</t>
  </si>
  <si>
    <t>TB</t>
  </si>
  <si>
    <t>MA</t>
  </si>
  <si>
    <t xml:space="preserve">Total </t>
  </si>
  <si>
    <t>High</t>
  </si>
  <si>
    <t>Same as sampling depth</t>
  </si>
  <si>
    <t>NA</t>
  </si>
  <si>
    <t>Yes</t>
  </si>
  <si>
    <t>YSI</t>
  </si>
  <si>
    <t>Secchi</t>
  </si>
  <si>
    <t>9mL + 1mL 10% ZnAc</t>
  </si>
  <si>
    <t>No headspace;  NaOH (1 mL of 1 M per 40 mL)</t>
  </si>
  <si>
    <t>GC</t>
  </si>
  <si>
    <t>?</t>
  </si>
  <si>
    <t>TP</t>
  </si>
  <si>
    <t>TN</t>
  </si>
  <si>
    <t>Methylene blue colorimetry</t>
  </si>
  <si>
    <t>1 mL of 1 M HCl per 100 mL sample) to pH 2</t>
  </si>
  <si>
    <t>20 - 40 ml</t>
  </si>
  <si>
    <t>TOC analyzer</t>
  </si>
  <si>
    <t>ICP for total</t>
  </si>
  <si>
    <t>ICP for total, Colorimetric for FeII</t>
  </si>
  <si>
    <t>IC</t>
  </si>
  <si>
    <t>20–50 mL</t>
  </si>
  <si>
    <t>colorimetric</t>
  </si>
  <si>
    <t>4°C, dark, then freeze</t>
  </si>
  <si>
    <r>
      <t xml:space="preserve">acidify to pH &lt; 2 with </t>
    </r>
    <r>
      <rPr>
        <b/>
        <sz val="12"/>
        <color theme="1"/>
        <rFont val="Calibri"/>
        <family val="2"/>
        <scheme val="minor"/>
      </rPr>
      <t>H₂SO₄</t>
    </r>
  </si>
  <si>
    <t>SRP</t>
  </si>
  <si>
    <t>UV-Vis absorbance</t>
  </si>
  <si>
    <t>20 - 100 mL</t>
  </si>
  <si>
    <t>Number of depths</t>
  </si>
  <si>
    <t>Filters</t>
  </si>
  <si>
    <t>Depths to collect samples</t>
  </si>
  <si>
    <t>Time points to take</t>
  </si>
  <si>
    <t>DNA sample</t>
  </si>
  <si>
    <t>RNA sample</t>
  </si>
  <si>
    <t>Chemical sample</t>
  </si>
  <si>
    <t>Estimated time on the boat (min)</t>
  </si>
  <si>
    <t>Estimated time on the boat for TB at other 3 time points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</si>
</sst>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 (Body)"/>
    </font>
    <font>
      <sz val="12"/>
      <color theme="1"/>
      <name val="Calibri (Body)"/>
    </font>
    <font>
      <sz val="12"/>
      <color rgb="FF000000"/>
      <name val="Calibri (Body)"/>
    </font>
    <font>
      <sz val="10"/>
      <color theme="1"/>
      <name val="Calibri"/>
      <family val="2"/>
      <scheme val="minor"/>
    </font>
    <font>
      <b/>
      <sz val="12"/>
      <color theme="1"/>
      <name val="Calibri (Body)"/>
    </font>
    <font>
      <b/>
      <sz val="12"/>
      <color rgb="FF000000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5B9BD5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left" vertical="center" wrapText="1" readingOrder="1"/>
    </xf>
    <xf numFmtId="0" fontId="1" fillId="0" borderId="0" xfId="0" applyFont="1"/>
    <xf numFmtId="0" fontId="5" fillId="0" borderId="0" xfId="0" applyFont="1"/>
    <xf numFmtId="0" fontId="2" fillId="2" borderId="3" xfId="0" applyFont="1" applyFill="1" applyBorder="1" applyAlignment="1">
      <alignment horizontal="left" vertical="center" wrapText="1" readingOrder="1"/>
    </xf>
    <xf numFmtId="0" fontId="2" fillId="2" borderId="4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3" fillId="0" borderId="2" xfId="0" applyFont="1" applyBorder="1"/>
    <xf numFmtId="0" fontId="4" fillId="3" borderId="0" xfId="0" applyFont="1" applyFill="1" applyAlignment="1">
      <alignment horizontal="left" vertical="center" wrapText="1" readingOrder="1"/>
    </xf>
    <xf numFmtId="0" fontId="3" fillId="3" borderId="0" xfId="0" applyFont="1" applyFill="1"/>
    <xf numFmtId="0" fontId="3" fillId="4" borderId="0" xfId="0" applyFont="1" applyFill="1"/>
    <xf numFmtId="0" fontId="4" fillId="0" borderId="0" xfId="0" applyFont="1" applyAlignment="1">
      <alignment horizontal="left" vertical="center" wrapText="1" readingOrder="1"/>
    </xf>
    <xf numFmtId="0" fontId="6" fillId="4" borderId="0" xfId="0" applyFont="1" applyFill="1"/>
    <xf numFmtId="0" fontId="7" fillId="4" borderId="1" xfId="0" applyFont="1" applyFill="1" applyBorder="1" applyAlignment="1">
      <alignment horizontal="left" vertical="center" wrapText="1" readingOrder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279400</xdr:colOff>
      <xdr:row>0</xdr:row>
      <xdr:rowOff>114300</xdr:rowOff>
    </xdr:from>
    <xdr:to>
      <xdr:col>18</xdr:col>
      <xdr:colOff>101600</xdr:colOff>
      <xdr:row>24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965E76-CFB1-B58F-DF19-F978E546B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52100" y="114300"/>
          <a:ext cx="5600700" cy="558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5A90-7169-3640-8368-35229DB4C0A3}">
  <dimension ref="A1:K25"/>
  <sheetViews>
    <sheetView tabSelected="1" workbookViewId="0">
      <selection activeCell="K10" sqref="K10"/>
    </sheetView>
  </sheetViews>
  <sheetFormatPr baseColWidth="10" defaultRowHeight="16" x14ac:dyDescent="0.2"/>
  <cols>
    <col min="1" max="1" width="22.6640625" style="1" customWidth="1"/>
    <col min="2" max="2" width="10.33203125" style="1" bestFit="1" customWidth="1"/>
    <col min="3" max="3" width="13.6640625" style="1" bestFit="1" customWidth="1"/>
    <col min="4" max="4" width="11" style="1" bestFit="1" customWidth="1"/>
    <col min="5" max="10" width="10.83203125" style="1"/>
    <col min="11" max="11" width="13.5" style="1" customWidth="1"/>
    <col min="12" max="16384" width="10.83203125" style="1"/>
  </cols>
  <sheetData>
    <row r="1" spans="1:11" ht="81" customHeight="1" x14ac:dyDescent="0.2">
      <c r="A1" s="5" t="s">
        <v>34</v>
      </c>
      <c r="B1" s="6" t="s">
        <v>35</v>
      </c>
      <c r="C1" s="6" t="s">
        <v>36</v>
      </c>
      <c r="D1" s="7" t="s">
        <v>37</v>
      </c>
      <c r="E1" s="2" t="s">
        <v>84</v>
      </c>
      <c r="F1" s="2" t="s">
        <v>85</v>
      </c>
      <c r="G1" s="2" t="s">
        <v>86</v>
      </c>
      <c r="H1" s="2" t="s">
        <v>82</v>
      </c>
      <c r="I1" s="2" t="s">
        <v>87</v>
      </c>
      <c r="J1" s="2" t="s">
        <v>88</v>
      </c>
      <c r="K1" s="2" t="s">
        <v>89</v>
      </c>
    </row>
    <row r="2" spans="1:11" ht="15" customHeight="1" x14ac:dyDescent="0.2">
      <c r="A2" s="8" t="s">
        <v>40</v>
      </c>
      <c r="B2" s="8">
        <v>7.9</v>
      </c>
      <c r="C2" s="8" t="s">
        <v>41</v>
      </c>
      <c r="D2" s="8" t="s">
        <v>42</v>
      </c>
      <c r="E2" s="8">
        <v>4</v>
      </c>
      <c r="F2" s="9">
        <f>COUNTIF(B$12:B$30, "&gt;0")</f>
        <v>10</v>
      </c>
      <c r="G2" s="9">
        <f>F2*E2</f>
        <v>40</v>
      </c>
      <c r="H2" s="9">
        <f>F2+G2*3</f>
        <v>130</v>
      </c>
      <c r="I2" s="1">
        <f>F2</f>
        <v>10</v>
      </c>
      <c r="J2" s="1">
        <f>I2*2+40*4</f>
        <v>180</v>
      </c>
      <c r="K2" s="1">
        <f>30*4</f>
        <v>120</v>
      </c>
    </row>
    <row r="3" spans="1:11" ht="15" customHeight="1" x14ac:dyDescent="0.2">
      <c r="A3" s="8" t="s">
        <v>38</v>
      </c>
      <c r="B3" s="8">
        <v>21.5</v>
      </c>
      <c r="C3" s="8" t="s">
        <v>39</v>
      </c>
      <c r="D3" s="8">
        <v>20.6</v>
      </c>
      <c r="E3" s="8">
        <v>1</v>
      </c>
      <c r="F3" s="9">
        <f>COUNTIF(C$12:C$30, "&gt;0")</f>
        <v>14</v>
      </c>
      <c r="G3" s="9">
        <f t="shared" ref="G3:G6" si="0">F3*E3</f>
        <v>14</v>
      </c>
      <c r="H3" s="9">
        <f t="shared" ref="H3:H6" si="1">F3+G3*3</f>
        <v>56</v>
      </c>
      <c r="I3" s="1">
        <f t="shared" ref="I3:I6" si="2">F3</f>
        <v>14</v>
      </c>
      <c r="J3" s="1">
        <f>I3*2+H3*4</f>
        <v>252</v>
      </c>
    </row>
    <row r="4" spans="1:11" ht="15" customHeight="1" x14ac:dyDescent="0.2">
      <c r="A4" s="8" t="s">
        <v>43</v>
      </c>
      <c r="B4" s="8">
        <v>8</v>
      </c>
      <c r="C4" s="8" t="s">
        <v>41</v>
      </c>
      <c r="D4" s="8" t="s">
        <v>44</v>
      </c>
      <c r="E4" s="8">
        <v>1</v>
      </c>
      <c r="F4" s="9">
        <f>COUNTIF(D$12:D$30, "&gt;0")</f>
        <v>10</v>
      </c>
      <c r="G4" s="9">
        <f t="shared" si="0"/>
        <v>10</v>
      </c>
      <c r="H4" s="9">
        <f t="shared" si="1"/>
        <v>40</v>
      </c>
      <c r="I4" s="1">
        <f t="shared" si="2"/>
        <v>10</v>
      </c>
      <c r="J4" s="1">
        <f t="shared" ref="J4:J6" si="3">I4*2+H4*4</f>
        <v>180</v>
      </c>
    </row>
    <row r="5" spans="1:11" ht="15" customHeight="1" x14ac:dyDescent="0.2">
      <c r="A5" s="8" t="s">
        <v>45</v>
      </c>
      <c r="B5" s="8">
        <v>4.5</v>
      </c>
      <c r="C5" s="8" t="s">
        <v>41</v>
      </c>
      <c r="D5" s="8">
        <v>11.8</v>
      </c>
      <c r="E5" s="8">
        <v>1</v>
      </c>
      <c r="F5" s="9">
        <f>COUNTIF(E$12:E$30, "&gt;0")</f>
        <v>6</v>
      </c>
      <c r="G5" s="9">
        <f t="shared" si="0"/>
        <v>6</v>
      </c>
      <c r="H5" s="9">
        <f t="shared" si="1"/>
        <v>24</v>
      </c>
      <c r="I5" s="1">
        <f t="shared" si="2"/>
        <v>6</v>
      </c>
      <c r="J5" s="1">
        <f t="shared" si="3"/>
        <v>108</v>
      </c>
    </row>
    <row r="6" spans="1:11" ht="15" customHeight="1" x14ac:dyDescent="0.2">
      <c r="A6" s="8" t="s">
        <v>46</v>
      </c>
      <c r="B6" s="8">
        <v>2.5</v>
      </c>
      <c r="C6" s="8" t="s">
        <v>47</v>
      </c>
      <c r="D6" s="8" t="s">
        <v>48</v>
      </c>
      <c r="E6" s="8">
        <v>1</v>
      </c>
      <c r="F6" s="9">
        <f>COUNTIF(F$12:F$30, "&gt;0")</f>
        <v>4</v>
      </c>
      <c r="G6" s="9">
        <f t="shared" si="0"/>
        <v>4</v>
      </c>
      <c r="H6" s="9">
        <f t="shared" si="1"/>
        <v>16</v>
      </c>
      <c r="I6" s="1">
        <f t="shared" si="2"/>
        <v>4</v>
      </c>
      <c r="J6" s="1">
        <f t="shared" si="3"/>
        <v>72</v>
      </c>
    </row>
    <row r="7" spans="1:11" s="16" customFormat="1" ht="13" customHeight="1" x14ac:dyDescent="0.2">
      <c r="A7" s="14"/>
      <c r="B7" s="14"/>
      <c r="C7" s="14"/>
      <c r="D7" s="15" t="s">
        <v>54</v>
      </c>
      <c r="E7" s="14"/>
      <c r="F7" s="14">
        <f>SUM(F2:F6)</f>
        <v>44</v>
      </c>
      <c r="G7" s="14">
        <f>SUM(G2:G6)</f>
        <v>74</v>
      </c>
      <c r="H7" s="14">
        <f>SUM(H2:H6)</f>
        <v>266</v>
      </c>
      <c r="I7" s="14">
        <f>SUM(I2:I6)</f>
        <v>44</v>
      </c>
    </row>
    <row r="9" spans="1:11" ht="17" x14ac:dyDescent="0.2">
      <c r="A9" s="13" t="s">
        <v>83</v>
      </c>
    </row>
    <row r="10" spans="1:11" ht="17" x14ac:dyDescent="0.2">
      <c r="A10" s="10" t="s">
        <v>34</v>
      </c>
      <c r="B10" s="11" t="s">
        <v>52</v>
      </c>
      <c r="C10" s="11" t="s">
        <v>53</v>
      </c>
      <c r="D10" s="11" t="s">
        <v>51</v>
      </c>
      <c r="E10" s="10" t="s">
        <v>50</v>
      </c>
      <c r="F10" s="11" t="s">
        <v>49</v>
      </c>
    </row>
    <row r="11" spans="1:11" x14ac:dyDescent="0.2">
      <c r="A11" s="12" t="s">
        <v>81</v>
      </c>
      <c r="B11" s="12">
        <f>COUNTIF(B$12:B$30, "&gt;0")</f>
        <v>10</v>
      </c>
      <c r="C11" s="12">
        <f>COUNTIF(C$12:C$30, "&gt;0")</f>
        <v>14</v>
      </c>
      <c r="D11" s="12">
        <f>COUNTIF(D$12:D$30, "&gt;0")</f>
        <v>10</v>
      </c>
      <c r="E11" s="12">
        <f>COUNTIF(E$12:E$30, "&gt;0")</f>
        <v>6</v>
      </c>
      <c r="F11" s="12">
        <f>COUNTIF(F$12:F$30, "&gt;0")</f>
        <v>4</v>
      </c>
    </row>
    <row r="12" spans="1:11" x14ac:dyDescent="0.2">
      <c r="B12" s="1">
        <v>0.5</v>
      </c>
      <c r="C12" s="1">
        <v>0.5</v>
      </c>
      <c r="D12" s="1">
        <v>0.5</v>
      </c>
      <c r="E12" s="1">
        <v>0.5</v>
      </c>
      <c r="F12" s="1">
        <v>0.5</v>
      </c>
    </row>
    <row r="13" spans="1:11" x14ac:dyDescent="0.2">
      <c r="B13" s="1">
        <v>1</v>
      </c>
      <c r="C13" s="1">
        <v>1</v>
      </c>
      <c r="D13" s="1">
        <v>1</v>
      </c>
      <c r="E13" s="1">
        <v>1</v>
      </c>
      <c r="F13" s="1">
        <v>1</v>
      </c>
    </row>
    <row r="14" spans="1:11" x14ac:dyDescent="0.2">
      <c r="B14" s="1">
        <v>1.5</v>
      </c>
      <c r="C14" s="1">
        <v>1.5</v>
      </c>
      <c r="D14" s="1">
        <v>1.5</v>
      </c>
      <c r="E14" s="1">
        <v>1.5</v>
      </c>
      <c r="F14" s="1">
        <v>1.5</v>
      </c>
    </row>
    <row r="15" spans="1:11" x14ac:dyDescent="0.2">
      <c r="B15" s="1">
        <v>2</v>
      </c>
      <c r="C15" s="1">
        <v>2</v>
      </c>
      <c r="D15" s="1">
        <v>2</v>
      </c>
      <c r="E15" s="1">
        <v>2</v>
      </c>
      <c r="F15" s="1">
        <v>2</v>
      </c>
    </row>
    <row r="16" spans="1:11" x14ac:dyDescent="0.2">
      <c r="B16" s="1">
        <v>3</v>
      </c>
      <c r="C16" s="1">
        <v>3</v>
      </c>
      <c r="D16" s="1">
        <v>3</v>
      </c>
      <c r="E16" s="1">
        <v>3</v>
      </c>
    </row>
    <row r="17" spans="2:5" x14ac:dyDescent="0.2">
      <c r="B17" s="1">
        <v>4</v>
      </c>
      <c r="C17" s="1">
        <v>4</v>
      </c>
      <c r="D17" s="1">
        <v>4</v>
      </c>
      <c r="E17" s="1">
        <v>4</v>
      </c>
    </row>
    <row r="18" spans="2:5" x14ac:dyDescent="0.2">
      <c r="B18" s="1">
        <v>5</v>
      </c>
      <c r="C18" s="1">
        <v>5</v>
      </c>
      <c r="D18" s="1">
        <v>5</v>
      </c>
    </row>
    <row r="19" spans="2:5" x14ac:dyDescent="0.2">
      <c r="B19" s="1">
        <v>6</v>
      </c>
      <c r="C19" s="1">
        <v>6</v>
      </c>
      <c r="D19" s="1">
        <v>6</v>
      </c>
    </row>
    <row r="20" spans="2:5" x14ac:dyDescent="0.2">
      <c r="B20" s="1">
        <v>7</v>
      </c>
      <c r="C20" s="1">
        <v>8</v>
      </c>
      <c r="D20" s="1">
        <v>7</v>
      </c>
    </row>
    <row r="21" spans="2:5" x14ac:dyDescent="0.2">
      <c r="B21" s="1">
        <v>8</v>
      </c>
      <c r="C21" s="1">
        <v>10</v>
      </c>
      <c r="D21" s="1">
        <v>8</v>
      </c>
    </row>
    <row r="22" spans="2:5" x14ac:dyDescent="0.2">
      <c r="C22" s="1">
        <v>12</v>
      </c>
    </row>
    <row r="23" spans="2:5" x14ac:dyDescent="0.2">
      <c r="C23" s="1">
        <v>14</v>
      </c>
    </row>
    <row r="24" spans="2:5" x14ac:dyDescent="0.2">
      <c r="C24" s="1">
        <v>17</v>
      </c>
    </row>
    <row r="25" spans="2:5" x14ac:dyDescent="0.2">
      <c r="C25" s="1">
        <v>20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B34DB-9F18-404E-8EF6-EA61E382C43A}">
  <dimension ref="A2:I28"/>
  <sheetViews>
    <sheetView workbookViewId="0">
      <selection activeCell="A25" sqref="A25"/>
    </sheetView>
  </sheetViews>
  <sheetFormatPr baseColWidth="10" defaultRowHeight="16" x14ac:dyDescent="0.2"/>
  <cols>
    <col min="2" max="2" width="12.6640625" bestFit="1" customWidth="1"/>
    <col min="3" max="3" width="21.6640625" bestFit="1" customWidth="1"/>
    <col min="5" max="5" width="40.1640625" bestFit="1" customWidth="1"/>
    <col min="6" max="6" width="46.33203125" bestFit="1" customWidth="1"/>
    <col min="7" max="7" width="18.83203125" bestFit="1" customWidth="1"/>
    <col min="8" max="8" width="24" bestFit="1" customWidth="1"/>
  </cols>
  <sheetData>
    <row r="2" spans="2:9" x14ac:dyDescent="0.2">
      <c r="B2" s="3" t="s">
        <v>0</v>
      </c>
      <c r="C2" s="3" t="s">
        <v>10</v>
      </c>
      <c r="D2" s="3" t="s">
        <v>1</v>
      </c>
      <c r="E2" s="3" t="s">
        <v>2</v>
      </c>
      <c r="F2" s="3" t="s">
        <v>29</v>
      </c>
      <c r="G2" s="3" t="s">
        <v>25</v>
      </c>
      <c r="H2" s="3" t="s">
        <v>3</v>
      </c>
      <c r="I2" s="3" t="s">
        <v>4</v>
      </c>
    </row>
    <row r="3" spans="2:9" x14ac:dyDescent="0.2">
      <c r="B3" t="s">
        <v>5</v>
      </c>
      <c r="C3" t="s">
        <v>55</v>
      </c>
      <c r="D3" t="s">
        <v>57</v>
      </c>
      <c r="E3" t="s">
        <v>57</v>
      </c>
      <c r="F3" t="s">
        <v>57</v>
      </c>
      <c r="G3" t="s">
        <v>57</v>
      </c>
      <c r="H3" t="s">
        <v>59</v>
      </c>
      <c r="I3" t="s">
        <v>57</v>
      </c>
    </row>
    <row r="4" spans="2:9" x14ac:dyDescent="0.2">
      <c r="B4" t="s">
        <v>6</v>
      </c>
      <c r="C4" t="s">
        <v>55</v>
      </c>
      <c r="D4" t="s">
        <v>57</v>
      </c>
      <c r="E4" t="s">
        <v>57</v>
      </c>
      <c r="F4" t="s">
        <v>57</v>
      </c>
      <c r="G4" t="s">
        <v>57</v>
      </c>
      <c r="H4" t="s">
        <v>59</v>
      </c>
      <c r="I4" t="s">
        <v>57</v>
      </c>
    </row>
    <row r="5" spans="2:9" x14ac:dyDescent="0.2">
      <c r="B5" t="s">
        <v>24</v>
      </c>
      <c r="C5" t="s">
        <v>55</v>
      </c>
      <c r="D5" t="s">
        <v>57</v>
      </c>
      <c r="E5" t="s">
        <v>57</v>
      </c>
      <c r="F5" t="s">
        <v>57</v>
      </c>
      <c r="G5" t="s">
        <v>57</v>
      </c>
      <c r="H5" t="s">
        <v>59</v>
      </c>
      <c r="I5" t="s">
        <v>57</v>
      </c>
    </row>
    <row r="6" spans="2:9" x14ac:dyDescent="0.2">
      <c r="B6" t="s">
        <v>7</v>
      </c>
      <c r="C6" t="s">
        <v>55</v>
      </c>
      <c r="D6" t="s">
        <v>57</v>
      </c>
      <c r="E6" t="s">
        <v>57</v>
      </c>
      <c r="F6" t="s">
        <v>57</v>
      </c>
      <c r="G6" t="s">
        <v>57</v>
      </c>
      <c r="H6" t="s">
        <v>59</v>
      </c>
      <c r="I6" t="s">
        <v>57</v>
      </c>
    </row>
    <row r="7" spans="2:9" x14ac:dyDescent="0.2">
      <c r="B7" t="s">
        <v>8</v>
      </c>
      <c r="C7" t="s">
        <v>55</v>
      </c>
      <c r="D7" t="s">
        <v>57</v>
      </c>
      <c r="E7" t="s">
        <v>57</v>
      </c>
      <c r="F7" t="s">
        <v>57</v>
      </c>
      <c r="G7" t="s">
        <v>57</v>
      </c>
      <c r="H7" t="s">
        <v>59</v>
      </c>
      <c r="I7" t="s">
        <v>57</v>
      </c>
    </row>
    <row r="8" spans="2:9" x14ac:dyDescent="0.2">
      <c r="B8" t="s">
        <v>9</v>
      </c>
      <c r="C8" t="s">
        <v>55</v>
      </c>
      <c r="D8" t="s">
        <v>57</v>
      </c>
      <c r="E8" t="s">
        <v>57</v>
      </c>
      <c r="F8" t="s">
        <v>57</v>
      </c>
      <c r="G8" t="s">
        <v>57</v>
      </c>
      <c r="H8" t="s">
        <v>59</v>
      </c>
      <c r="I8" t="s">
        <v>57</v>
      </c>
    </row>
    <row r="9" spans="2:9" x14ac:dyDescent="0.2">
      <c r="B9" t="s">
        <v>11</v>
      </c>
      <c r="C9" t="s">
        <v>55</v>
      </c>
      <c r="D9" t="s">
        <v>57</v>
      </c>
      <c r="E9" t="s">
        <v>57</v>
      </c>
      <c r="F9" t="s">
        <v>57</v>
      </c>
      <c r="G9" t="s">
        <v>57</v>
      </c>
      <c r="H9" t="s">
        <v>59</v>
      </c>
      <c r="I9" t="s">
        <v>57</v>
      </c>
    </row>
    <row r="11" spans="2:9" x14ac:dyDescent="0.2">
      <c r="B11" t="s">
        <v>65</v>
      </c>
      <c r="C11" t="s">
        <v>56</v>
      </c>
      <c r="D11" t="s">
        <v>32</v>
      </c>
      <c r="E11" t="s">
        <v>77</v>
      </c>
      <c r="F11" t="s">
        <v>30</v>
      </c>
      <c r="G11" t="s">
        <v>33</v>
      </c>
      <c r="I11" t="s">
        <v>74</v>
      </c>
    </row>
    <row r="12" spans="2:9" x14ac:dyDescent="0.2">
      <c r="B12" t="s">
        <v>78</v>
      </c>
      <c r="C12" t="s">
        <v>56</v>
      </c>
      <c r="D12" t="s">
        <v>58</v>
      </c>
      <c r="E12" t="s">
        <v>32</v>
      </c>
      <c r="F12" t="s">
        <v>30</v>
      </c>
      <c r="G12" t="s">
        <v>33</v>
      </c>
      <c r="I12" t="s">
        <v>74</v>
      </c>
    </row>
    <row r="13" spans="2:9" x14ac:dyDescent="0.2">
      <c r="B13" t="s">
        <v>66</v>
      </c>
      <c r="C13" t="s">
        <v>56</v>
      </c>
      <c r="D13" t="s">
        <v>32</v>
      </c>
      <c r="E13" t="s">
        <v>32</v>
      </c>
      <c r="F13" t="s">
        <v>30</v>
      </c>
      <c r="G13" t="s">
        <v>33</v>
      </c>
    </row>
    <row r="14" spans="2:9" x14ac:dyDescent="0.2">
      <c r="B14" t="s">
        <v>12</v>
      </c>
      <c r="C14" t="s">
        <v>56</v>
      </c>
      <c r="D14" t="s">
        <v>58</v>
      </c>
      <c r="E14" t="s">
        <v>32</v>
      </c>
      <c r="F14" t="s">
        <v>30</v>
      </c>
      <c r="G14" t="s">
        <v>33</v>
      </c>
      <c r="H14" t="s">
        <v>73</v>
      </c>
      <c r="I14" t="s">
        <v>74</v>
      </c>
    </row>
    <row r="15" spans="2:9" x14ac:dyDescent="0.2">
      <c r="B15" t="s">
        <v>13</v>
      </c>
      <c r="C15" t="s">
        <v>56</v>
      </c>
      <c r="D15" t="s">
        <v>58</v>
      </c>
      <c r="E15" t="s">
        <v>32</v>
      </c>
      <c r="F15" t="s">
        <v>30</v>
      </c>
      <c r="G15" t="s">
        <v>76</v>
      </c>
      <c r="H15" t="s">
        <v>75</v>
      </c>
      <c r="I15" t="s">
        <v>74</v>
      </c>
    </row>
    <row r="16" spans="2:9" x14ac:dyDescent="0.2">
      <c r="B16" t="s">
        <v>14</v>
      </c>
      <c r="C16" t="s">
        <v>56</v>
      </c>
      <c r="D16" t="s">
        <v>58</v>
      </c>
      <c r="E16" t="s">
        <v>68</v>
      </c>
      <c r="F16" t="s">
        <v>30</v>
      </c>
      <c r="G16" t="s">
        <v>33</v>
      </c>
      <c r="H16" t="s">
        <v>70</v>
      </c>
      <c r="I16" t="s">
        <v>69</v>
      </c>
    </row>
    <row r="17" spans="1:9" x14ac:dyDescent="0.2">
      <c r="A17" t="s">
        <v>64</v>
      </c>
      <c r="B17" t="s">
        <v>16</v>
      </c>
      <c r="C17" t="s">
        <v>56</v>
      </c>
      <c r="D17" t="s">
        <v>58</v>
      </c>
      <c r="E17" t="s">
        <v>32</v>
      </c>
      <c r="F17" t="s">
        <v>30</v>
      </c>
      <c r="G17" t="s">
        <v>33</v>
      </c>
      <c r="H17" t="s">
        <v>79</v>
      </c>
      <c r="I17" t="s">
        <v>80</v>
      </c>
    </row>
    <row r="18" spans="1:9" x14ac:dyDescent="0.2">
      <c r="B18" t="s">
        <v>15</v>
      </c>
      <c r="C18" t="s">
        <v>56</v>
      </c>
      <c r="D18" t="s">
        <v>58</v>
      </c>
      <c r="E18" t="s">
        <v>32</v>
      </c>
      <c r="F18" t="s">
        <v>30</v>
      </c>
      <c r="G18" t="s">
        <v>33</v>
      </c>
    </row>
    <row r="19" spans="1:9" x14ac:dyDescent="0.2">
      <c r="B19" t="s">
        <v>17</v>
      </c>
      <c r="C19" t="s">
        <v>56</v>
      </c>
      <c r="D19" t="s">
        <v>58</v>
      </c>
      <c r="E19" t="s">
        <v>31</v>
      </c>
      <c r="F19" t="s">
        <v>30</v>
      </c>
      <c r="G19" t="s">
        <v>33</v>
      </c>
      <c r="H19" t="s">
        <v>72</v>
      </c>
    </row>
    <row r="20" spans="1:9" x14ac:dyDescent="0.2">
      <c r="B20" t="s">
        <v>18</v>
      </c>
      <c r="C20" t="s">
        <v>56</v>
      </c>
      <c r="D20" t="s">
        <v>58</v>
      </c>
      <c r="E20" t="s">
        <v>31</v>
      </c>
      <c r="F20" t="s">
        <v>30</v>
      </c>
      <c r="G20" t="s">
        <v>33</v>
      </c>
      <c r="H20" t="s">
        <v>71</v>
      </c>
    </row>
    <row r="21" spans="1:9" x14ac:dyDescent="0.2">
      <c r="B21" t="s">
        <v>19</v>
      </c>
      <c r="C21" t="s">
        <v>56</v>
      </c>
      <c r="D21" t="s">
        <v>58</v>
      </c>
      <c r="E21" t="s">
        <v>31</v>
      </c>
      <c r="F21" t="s">
        <v>30</v>
      </c>
      <c r="G21" t="s">
        <v>33</v>
      </c>
    </row>
    <row r="22" spans="1:9" x14ac:dyDescent="0.2">
      <c r="B22" t="s">
        <v>20</v>
      </c>
      <c r="C22" t="s">
        <v>56</v>
      </c>
      <c r="D22" t="s">
        <v>32</v>
      </c>
      <c r="E22" s="4" t="s">
        <v>61</v>
      </c>
      <c r="F22" t="s">
        <v>30</v>
      </c>
      <c r="G22" t="s">
        <v>33</v>
      </c>
      <c r="H22" t="s">
        <v>67</v>
      </c>
    </row>
    <row r="23" spans="1:9" x14ac:dyDescent="0.2">
      <c r="B23" t="s">
        <v>21</v>
      </c>
      <c r="C23" t="s">
        <v>56</v>
      </c>
      <c r="D23" t="s">
        <v>58</v>
      </c>
      <c r="E23" t="s">
        <v>31</v>
      </c>
      <c r="F23" t="s">
        <v>30</v>
      </c>
      <c r="G23" t="s">
        <v>33</v>
      </c>
      <c r="H23" t="s">
        <v>73</v>
      </c>
    </row>
    <row r="24" spans="1:9" x14ac:dyDescent="0.2">
      <c r="B24" t="s">
        <v>22</v>
      </c>
      <c r="C24" t="s">
        <v>56</v>
      </c>
      <c r="D24" t="s">
        <v>32</v>
      </c>
      <c r="E24" t="s">
        <v>62</v>
      </c>
      <c r="F24" t="s">
        <v>28</v>
      </c>
      <c r="G24" t="s">
        <v>33</v>
      </c>
      <c r="H24" t="s">
        <v>63</v>
      </c>
    </row>
    <row r="25" spans="1:9" x14ac:dyDescent="0.2">
      <c r="B25" t="s">
        <v>23</v>
      </c>
      <c r="C25" t="s">
        <v>56</v>
      </c>
      <c r="D25" t="s">
        <v>32</v>
      </c>
    </row>
    <row r="27" spans="1:9" x14ac:dyDescent="0.2">
      <c r="B27" t="s">
        <v>60</v>
      </c>
    </row>
    <row r="28" spans="1:9" x14ac:dyDescent="0.2">
      <c r="B28" t="s">
        <v>27</v>
      </c>
      <c r="F2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Lakes</vt:lpstr>
      <vt:lpstr>chemical_physical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SHAOMEI HE</dc:creator>
  <cp:lastModifiedBy>Keeley Kuru</cp:lastModifiedBy>
  <dcterms:created xsi:type="dcterms:W3CDTF">2025-05-08T19:54:12Z</dcterms:created>
  <dcterms:modified xsi:type="dcterms:W3CDTF">2025-08-11T16:50:25Z</dcterms:modified>
</cp:coreProperties>
</file>